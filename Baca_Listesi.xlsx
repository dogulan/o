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ca Listesi" sheetId="1" state="visible" r:id="rId3"/>
    <sheet name="Özet" sheetId="2" state="visible" r:id="rId4"/>
  </sheets>
  <definedNames>
    <definedName function="false" hidden="true" localSheetId="0" name="_xlnm._FilterDatabase" vbProcedure="false">'Baca Listesi'!$A$1:$E$72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<sst xmlns="http://schemas.openxmlformats.org/spreadsheetml/2006/main" count="227" uniqueCount="144">
  <si>
    <t xml:space="preserve">Sıra No</t>
  </si>
  <si>
    <t xml:space="preserve">Kategori</t>
  </si>
  <si>
    <t xml:space="preserve">Baca Kodu</t>
  </si>
  <si>
    <t xml:space="preserve">Baca Adı</t>
  </si>
  <si>
    <t xml:space="preserve">Not</t>
  </si>
  <si>
    <t xml:space="preserve">Fırın Bacaları</t>
  </si>
  <si>
    <t xml:space="preserve">P.111</t>
  </si>
  <si>
    <t xml:space="preserve">Top Coat Oven Zone-1 Çıkış Egzoz Fan</t>
  </si>
  <si>
    <t xml:space="preserve">P.260.3</t>
  </si>
  <si>
    <t xml:space="preserve">Top Coat Oven 3 Zone Indirect</t>
  </si>
  <si>
    <t xml:space="preserve">P.260.8</t>
  </si>
  <si>
    <t xml:space="preserve">Top Coat Oven Direct</t>
  </si>
  <si>
    <t xml:space="preserve">P.260.4</t>
  </si>
  <si>
    <t xml:space="preserve">Top Coat Oven 3. Zone Direct</t>
  </si>
  <si>
    <t xml:space="preserve">P.240.2</t>
  </si>
  <si>
    <t xml:space="preserve">Dry Off Oven 2. Zone</t>
  </si>
  <si>
    <t xml:space="preserve">P.260.5</t>
  </si>
  <si>
    <t xml:space="preserve">Top Coat Oven Furnace</t>
  </si>
  <si>
    <t xml:space="preserve">P.260.6</t>
  </si>
  <si>
    <t xml:space="preserve">Top Coat Oven 2. Zone Indirect</t>
  </si>
  <si>
    <t xml:space="preserve">P.260.7</t>
  </si>
  <si>
    <t xml:space="preserve">Top Coat Oven 2. Zone Direct</t>
  </si>
  <si>
    <t xml:space="preserve">P.240.1</t>
  </si>
  <si>
    <t xml:space="preserve">Dry Off Oven Hood</t>
  </si>
  <si>
    <t xml:space="preserve">P.200.1</t>
  </si>
  <si>
    <t xml:space="preserve">Primer Oven Hood</t>
  </si>
  <si>
    <t xml:space="preserve">P.180.1</t>
  </si>
  <si>
    <t xml:space="preserve">Sealer Oven Hood</t>
  </si>
  <si>
    <t xml:space="preserve">P.130.1</t>
  </si>
  <si>
    <t xml:space="preserve">ED Oven Hood</t>
  </si>
  <si>
    <t xml:space="preserve">P.130.4</t>
  </si>
  <si>
    <t xml:space="preserve">ED Oven 3. Zone Bacası</t>
  </si>
  <si>
    <t xml:space="preserve">P.130.5</t>
  </si>
  <si>
    <t xml:space="preserve">ED Oven Incinerator Ekipmanı</t>
  </si>
  <si>
    <t xml:space="preserve">P.130.2</t>
  </si>
  <si>
    <t xml:space="preserve">ED Oven 1. Zone Bacası</t>
  </si>
  <si>
    <t xml:space="preserve">P.200.5</t>
  </si>
  <si>
    <t xml:space="preserve">Primer Oven Furnace</t>
  </si>
  <si>
    <t xml:space="preserve">P.180.2</t>
  </si>
  <si>
    <t xml:space="preserve">Sealer Oven 2. Zone</t>
  </si>
  <si>
    <t xml:space="preserve">P.200.2</t>
  </si>
  <si>
    <t xml:space="preserve">Primer Oven 1. Zone Bacası</t>
  </si>
  <si>
    <t xml:space="preserve">P.240.4</t>
  </si>
  <si>
    <t xml:space="preserve">Dry Off Oven Furnace</t>
  </si>
  <si>
    <t xml:space="preserve">P.240.3</t>
  </si>
  <si>
    <t xml:space="preserve">Dry Off Oven 1. Zone</t>
  </si>
  <si>
    <t xml:space="preserve">P.200.4</t>
  </si>
  <si>
    <t xml:space="preserve">Primer Oven 3. Zone Bacası</t>
  </si>
  <si>
    <t xml:space="preserve">P.180.3</t>
  </si>
  <si>
    <t xml:space="preserve">Sealer Oven 1. Zone</t>
  </si>
  <si>
    <t xml:space="preserve">P.180.4</t>
  </si>
  <si>
    <t xml:space="preserve">Sealer Oven Furnace</t>
  </si>
  <si>
    <t xml:space="preserve">P.200.3</t>
  </si>
  <si>
    <t xml:space="preserve">Primer Oven 2. Zone Bacası</t>
  </si>
  <si>
    <t xml:space="preserve">P.114.1</t>
  </si>
  <si>
    <t xml:space="preserve">ED Fırın Çıkışı Egzoz Fan</t>
  </si>
  <si>
    <t xml:space="preserve">P.114.2</t>
  </si>
  <si>
    <t xml:space="preserve">ED Fırın Çıkışı Egzoz Fan-2</t>
  </si>
  <si>
    <t xml:space="preserve">P.320.1</t>
  </si>
  <si>
    <t xml:space="preserve">Su Bazlı Brülör Radiation Zone Bacası</t>
  </si>
  <si>
    <t xml:space="preserve">P.320.2</t>
  </si>
  <si>
    <t xml:space="preserve">Su Bazlı Brülör 1. Zone Bacası</t>
  </si>
  <si>
    <t xml:space="preserve">P.320.3</t>
  </si>
  <si>
    <t xml:space="preserve">Su Bazlı Brülör 2. Zone Bacası</t>
  </si>
  <si>
    <t xml:space="preserve">P.320.4</t>
  </si>
  <si>
    <t xml:space="preserve">Su Bazlı Brülör 3. Zone Bacası</t>
  </si>
  <si>
    <t xml:space="preserve">Booth Bacaları</t>
  </si>
  <si>
    <t xml:space="preserve">P.250.6</t>
  </si>
  <si>
    <t xml:space="preserve">Top Coat Bell Zone CP</t>
  </si>
  <si>
    <t xml:space="preserve">P.250.8</t>
  </si>
  <si>
    <t xml:space="preserve">Top Coat Booth Hot Zone CP2</t>
  </si>
  <si>
    <t xml:space="preserve">P.190.4</t>
  </si>
  <si>
    <t xml:space="preserve">Primer Booth Hand Zone CP2 Bacası</t>
  </si>
  <si>
    <t xml:space="preserve">P.190.3</t>
  </si>
  <si>
    <t xml:space="preserve">Primer Booth Hand Zone CP1 Bacası</t>
  </si>
  <si>
    <t xml:space="preserve">P.160.1</t>
  </si>
  <si>
    <t xml:space="preserve">Under Coat Booth</t>
  </si>
  <si>
    <t xml:space="preserve">Doğrusu kontrol edilecek; Kod listede tekrar ediyor</t>
  </si>
  <si>
    <t xml:space="preserve">P.220.1</t>
  </si>
  <si>
    <t xml:space="preserve">Primer Off Line Repair Kabin Bacası</t>
  </si>
  <si>
    <t xml:space="preserve">P.340.1</t>
  </si>
  <si>
    <t xml:space="preserve">Final Off Line 3 Bacası</t>
  </si>
  <si>
    <t xml:space="preserve">P.340.2</t>
  </si>
  <si>
    <t xml:space="preserve">Final Off Line 2 Bacası</t>
  </si>
  <si>
    <t xml:space="preserve">P.280.2</t>
  </si>
  <si>
    <t xml:space="preserve">Final Off Line 1 Bacası</t>
  </si>
  <si>
    <t xml:space="preserve">P.280.1</t>
  </si>
  <si>
    <t xml:space="preserve">Black Out Bacası</t>
  </si>
  <si>
    <t xml:space="preserve">P.250.3</t>
  </si>
  <si>
    <t xml:space="preserve">Top Coat Booth Rear Zone</t>
  </si>
  <si>
    <t xml:space="preserve">P.250.2</t>
  </si>
  <si>
    <t xml:space="preserve">Top Coat Booth Preparation Zone 2</t>
  </si>
  <si>
    <t xml:space="preserve">P.250.1</t>
  </si>
  <si>
    <t xml:space="preserve">Top Coat Booth Preparation Zone 1</t>
  </si>
  <si>
    <t xml:space="preserve">P.250.4</t>
  </si>
  <si>
    <t xml:space="preserve">TC Booth Hot Zone CP1</t>
  </si>
  <si>
    <t xml:space="preserve">P.190.1</t>
  </si>
  <si>
    <t xml:space="preserve">Primer Bell Exhaust</t>
  </si>
  <si>
    <t xml:space="preserve">PVC Booth</t>
  </si>
  <si>
    <t xml:space="preserve">Kontrol edilecek; Kod listede tekrar ediyor</t>
  </si>
  <si>
    <t xml:space="preserve">P.330.5</t>
  </si>
  <si>
    <t xml:space="preserve">Su Bazlı Kabin Bacası</t>
  </si>
  <si>
    <t xml:space="preserve">P.330.6</t>
  </si>
  <si>
    <t xml:space="preserve">P.330.7</t>
  </si>
  <si>
    <t xml:space="preserve">P.330.1</t>
  </si>
  <si>
    <t xml:space="preserve">P.330.2</t>
  </si>
  <si>
    <t xml:space="preserve">P.330.3</t>
  </si>
  <si>
    <t xml:space="preserve">P.330.4</t>
  </si>
  <si>
    <t xml:space="preserve">Proses Bacaları</t>
  </si>
  <si>
    <t xml:space="preserve">P.190.2</t>
  </si>
  <si>
    <t xml:space="preserve">Primer Bell Zone Bacası</t>
  </si>
  <si>
    <t xml:space="preserve">P.190.5</t>
  </si>
  <si>
    <t xml:space="preserve">Primer Flash Off Bacası</t>
  </si>
  <si>
    <t xml:space="preserve">WB.RTO</t>
  </si>
  <si>
    <t xml:space="preserve">WB.RTO Bacası</t>
  </si>
  <si>
    <t xml:space="preserve">SB RTO</t>
  </si>
  <si>
    <t xml:space="preserve">Baca kodu belirtilmemiş</t>
  </si>
  <si>
    <t xml:space="preserve">P.112</t>
  </si>
  <si>
    <t xml:space="preserve">UF Rinse Tank Havalandırma Bacası</t>
  </si>
  <si>
    <t xml:space="preserve">P.120.1</t>
  </si>
  <si>
    <t xml:space="preserve">ED Tank Bacası</t>
  </si>
  <si>
    <t xml:space="preserve">P.113</t>
  </si>
  <si>
    <t xml:space="preserve">DI Full Dip Tank Çıkışı Egzoz Fan</t>
  </si>
  <si>
    <t xml:space="preserve">P.110.4</t>
  </si>
  <si>
    <t xml:space="preserve">Rinse Bacası</t>
  </si>
  <si>
    <t xml:space="preserve">P.110.3</t>
  </si>
  <si>
    <t xml:space="preserve">Fosfat Tankı Bacası</t>
  </si>
  <si>
    <t xml:space="preserve">P.110.2</t>
  </si>
  <si>
    <t xml:space="preserve">Degrease 2 Bacası</t>
  </si>
  <si>
    <t xml:space="preserve">P.110.5</t>
  </si>
  <si>
    <t xml:space="preserve">Degrease 1 Bacası</t>
  </si>
  <si>
    <t xml:space="preserve">P.110.1</t>
  </si>
  <si>
    <t xml:space="preserve">Fosfat Hattı Girişi</t>
  </si>
  <si>
    <t xml:space="preserve">P.290.1</t>
  </si>
  <si>
    <t xml:space="preserve">Cavity Wax Bacası</t>
  </si>
  <si>
    <t xml:space="preserve">C Hanger Yıkama</t>
  </si>
  <si>
    <t xml:space="preserve">Fosfat Sigara İçme Odası</t>
  </si>
  <si>
    <t xml:space="preserve">Tanımsız / Kontrol Edilecek</t>
  </si>
  <si>
    <t xml:space="preserve">P.250.7</t>
  </si>
  <si>
    <t xml:space="preserve">Ekipman adı eksik</t>
  </si>
  <si>
    <t xml:space="preserve">Kod listede tekrar ediyor</t>
  </si>
  <si>
    <t xml:space="preserve">Tanımsız</t>
  </si>
  <si>
    <t xml:space="preserve">Baca Sayısı</t>
  </si>
  <si>
    <t xml:space="preserve">Toplam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</si>
</sst>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C00000"/>
      <name val="Arial"/>
      <family val="0"/>
      <charset val="1"/>
    </font>
    <font>
      <b val="true"/>
      <sz val="1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CE4D6"/>
        <bgColor rgb="FFFFF2CC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4E78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C00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8"/>
    <col collapsed="false" customWidth="true" hidden="false" outlineLevel="0" max="3" min="3" style="0" width="13"/>
    <col collapsed="false" customWidth="true" hidden="false" outlineLevel="0" max="4" min="4" style="0" width="42"/>
    <col collapsed="false" customWidth="true" hidden="false" outlineLevel="0" max="5" min="5" style="0" width="4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n">
        <v>1</v>
      </c>
      <c r="B2" s="3" t="s">
        <v>5</v>
      </c>
      <c r="C2" s="2" t="s">
        <v>6</v>
      </c>
      <c r="D2" s="3" t="s">
        <v>7</v>
      </c>
      <c r="E2" s="3"/>
    </row>
    <row r="3" customFormat="false" ht="15" hidden="false" customHeight="false" outlineLevel="0" collapsed="false">
      <c r="A3" s="2" t="n">
        <v>2</v>
      </c>
      <c r="B3" s="3" t="s">
        <v>5</v>
      </c>
      <c r="C3" s="2" t="s">
        <v>8</v>
      </c>
      <c r="D3" s="3" t="s">
        <v>9</v>
      </c>
      <c r="E3" s="3"/>
    </row>
    <row r="4" customFormat="false" ht="15" hidden="false" customHeight="false" outlineLevel="0" collapsed="false">
      <c r="A4" s="2" t="n">
        <v>3</v>
      </c>
      <c r="B4" s="3" t="s">
        <v>5</v>
      </c>
      <c r="C4" s="2" t="s">
        <v>10</v>
      </c>
      <c r="D4" s="3" t="s">
        <v>11</v>
      </c>
      <c r="E4" s="3"/>
    </row>
    <row r="5" customFormat="false" ht="15" hidden="false" customHeight="false" outlineLevel="0" collapsed="false">
      <c r="A5" s="2" t="n">
        <v>4</v>
      </c>
      <c r="B5" s="3" t="s">
        <v>5</v>
      </c>
      <c r="C5" s="2" t="s">
        <v>12</v>
      </c>
      <c r="D5" s="3" t="s">
        <v>13</v>
      </c>
      <c r="E5" s="3"/>
    </row>
    <row r="6" customFormat="false" ht="15" hidden="false" customHeight="false" outlineLevel="0" collapsed="false">
      <c r="A6" s="2" t="n">
        <v>5</v>
      </c>
      <c r="B6" s="3" t="s">
        <v>5</v>
      </c>
      <c r="C6" s="2" t="s">
        <v>14</v>
      </c>
      <c r="D6" s="3" t="s">
        <v>15</v>
      </c>
      <c r="E6" s="3"/>
    </row>
    <row r="7" customFormat="false" ht="15" hidden="false" customHeight="false" outlineLevel="0" collapsed="false">
      <c r="A7" s="2" t="n">
        <v>6</v>
      </c>
      <c r="B7" s="3" t="s">
        <v>5</v>
      </c>
      <c r="C7" s="2" t="s">
        <v>16</v>
      </c>
      <c r="D7" s="3" t="s">
        <v>17</v>
      </c>
      <c r="E7" s="3"/>
    </row>
    <row r="8" customFormat="false" ht="15" hidden="false" customHeight="false" outlineLevel="0" collapsed="false">
      <c r="A8" s="2" t="n">
        <v>7</v>
      </c>
      <c r="B8" s="3" t="s">
        <v>5</v>
      </c>
      <c r="C8" s="2" t="s">
        <v>18</v>
      </c>
      <c r="D8" s="3" t="s">
        <v>19</v>
      </c>
      <c r="E8" s="3"/>
    </row>
    <row r="9" customFormat="false" ht="15" hidden="false" customHeight="false" outlineLevel="0" collapsed="false">
      <c r="A9" s="2" t="n">
        <v>8</v>
      </c>
      <c r="B9" s="3" t="s">
        <v>5</v>
      </c>
      <c r="C9" s="2" t="s">
        <v>20</v>
      </c>
      <c r="D9" s="3" t="s">
        <v>21</v>
      </c>
      <c r="E9" s="3"/>
    </row>
    <row r="10" customFormat="false" ht="15" hidden="false" customHeight="false" outlineLevel="0" collapsed="false">
      <c r="A10" s="2" t="n">
        <v>9</v>
      </c>
      <c r="B10" s="3" t="s">
        <v>5</v>
      </c>
      <c r="C10" s="2" t="s">
        <v>22</v>
      </c>
      <c r="D10" s="3" t="s">
        <v>23</v>
      </c>
      <c r="E10" s="3"/>
    </row>
    <row r="11" customFormat="false" ht="15" hidden="false" customHeight="false" outlineLevel="0" collapsed="false">
      <c r="A11" s="2" t="n">
        <v>10</v>
      </c>
      <c r="B11" s="3" t="s">
        <v>5</v>
      </c>
      <c r="C11" s="2" t="s">
        <v>24</v>
      </c>
      <c r="D11" s="3" t="s">
        <v>25</v>
      </c>
      <c r="E11" s="3"/>
    </row>
    <row r="12" customFormat="false" ht="15" hidden="false" customHeight="false" outlineLevel="0" collapsed="false">
      <c r="A12" s="2" t="n">
        <v>11</v>
      </c>
      <c r="B12" s="3" t="s">
        <v>5</v>
      </c>
      <c r="C12" s="2" t="s">
        <v>26</v>
      </c>
      <c r="D12" s="3" t="s">
        <v>27</v>
      </c>
      <c r="E12" s="3"/>
    </row>
    <row r="13" customFormat="false" ht="15" hidden="false" customHeight="false" outlineLevel="0" collapsed="false">
      <c r="A13" s="2" t="n">
        <v>12</v>
      </c>
      <c r="B13" s="3" t="s">
        <v>5</v>
      </c>
      <c r="C13" s="2" t="s">
        <v>28</v>
      </c>
      <c r="D13" s="3" t="s">
        <v>29</v>
      </c>
      <c r="E13" s="3"/>
    </row>
    <row r="14" customFormat="false" ht="15" hidden="false" customHeight="false" outlineLevel="0" collapsed="false">
      <c r="A14" s="2" t="n">
        <v>13</v>
      </c>
      <c r="B14" s="3" t="s">
        <v>5</v>
      </c>
      <c r="C14" s="2" t="s">
        <v>30</v>
      </c>
      <c r="D14" s="3" t="s">
        <v>31</v>
      </c>
      <c r="E14" s="3"/>
    </row>
    <row r="15" customFormat="false" ht="15" hidden="false" customHeight="false" outlineLevel="0" collapsed="false">
      <c r="A15" s="2" t="n">
        <v>14</v>
      </c>
      <c r="B15" s="3" t="s">
        <v>5</v>
      </c>
      <c r="C15" s="2" t="s">
        <v>32</v>
      </c>
      <c r="D15" s="3" t="s">
        <v>33</v>
      </c>
      <c r="E15" s="3"/>
    </row>
    <row r="16" customFormat="false" ht="15" hidden="false" customHeight="false" outlineLevel="0" collapsed="false">
      <c r="A16" s="2" t="n">
        <v>15</v>
      </c>
      <c r="B16" s="3" t="s">
        <v>5</v>
      </c>
      <c r="C16" s="2" t="s">
        <v>34</v>
      </c>
      <c r="D16" s="3" t="s">
        <v>35</v>
      </c>
      <c r="E16" s="3"/>
    </row>
    <row r="17" customFormat="false" ht="15" hidden="false" customHeight="false" outlineLevel="0" collapsed="false">
      <c r="A17" s="2" t="n">
        <v>16</v>
      </c>
      <c r="B17" s="3" t="s">
        <v>5</v>
      </c>
      <c r="C17" s="2" t="s">
        <v>36</v>
      </c>
      <c r="D17" s="3" t="s">
        <v>37</v>
      </c>
      <c r="E17" s="3"/>
    </row>
    <row r="18" customFormat="false" ht="15" hidden="false" customHeight="false" outlineLevel="0" collapsed="false">
      <c r="A18" s="2" t="n">
        <v>17</v>
      </c>
      <c r="B18" s="3" t="s">
        <v>5</v>
      </c>
      <c r="C18" s="2" t="s">
        <v>38</v>
      </c>
      <c r="D18" s="3" t="s">
        <v>39</v>
      </c>
      <c r="E18" s="3"/>
    </row>
    <row r="19" customFormat="false" ht="15" hidden="false" customHeight="false" outlineLevel="0" collapsed="false">
      <c r="A19" s="2" t="n">
        <v>18</v>
      </c>
      <c r="B19" s="3" t="s">
        <v>5</v>
      </c>
      <c r="C19" s="2" t="s">
        <v>40</v>
      </c>
      <c r="D19" s="3" t="s">
        <v>41</v>
      </c>
      <c r="E19" s="3"/>
    </row>
    <row r="20" customFormat="false" ht="15" hidden="false" customHeight="false" outlineLevel="0" collapsed="false">
      <c r="A20" s="2" t="n">
        <v>19</v>
      </c>
      <c r="B20" s="3" t="s">
        <v>5</v>
      </c>
      <c r="C20" s="2" t="s">
        <v>42</v>
      </c>
      <c r="D20" s="3" t="s">
        <v>43</v>
      </c>
      <c r="E20" s="3"/>
    </row>
    <row r="21" customFormat="false" ht="15" hidden="false" customHeight="false" outlineLevel="0" collapsed="false">
      <c r="A21" s="2" t="n">
        <v>20</v>
      </c>
      <c r="B21" s="3" t="s">
        <v>5</v>
      </c>
      <c r="C21" s="2" t="s">
        <v>44</v>
      </c>
      <c r="D21" s="3" t="s">
        <v>45</v>
      </c>
      <c r="E21" s="3"/>
    </row>
    <row r="22" customFormat="false" ht="15" hidden="false" customHeight="false" outlineLevel="0" collapsed="false">
      <c r="A22" s="2" t="n">
        <v>21</v>
      </c>
      <c r="B22" s="3" t="s">
        <v>5</v>
      </c>
      <c r="C22" s="2" t="s">
        <v>46</v>
      </c>
      <c r="D22" s="3" t="s">
        <v>47</v>
      </c>
      <c r="E22" s="3"/>
    </row>
    <row r="23" customFormat="false" ht="15" hidden="false" customHeight="false" outlineLevel="0" collapsed="false">
      <c r="A23" s="2" t="n">
        <v>22</v>
      </c>
      <c r="B23" s="3" t="s">
        <v>5</v>
      </c>
      <c r="C23" s="2" t="s">
        <v>48</v>
      </c>
      <c r="D23" s="3" t="s">
        <v>49</v>
      </c>
      <c r="E23" s="3"/>
    </row>
    <row r="24" customFormat="false" ht="15" hidden="false" customHeight="false" outlineLevel="0" collapsed="false">
      <c r="A24" s="2" t="n">
        <v>23</v>
      </c>
      <c r="B24" s="3" t="s">
        <v>5</v>
      </c>
      <c r="C24" s="2" t="s">
        <v>50</v>
      </c>
      <c r="D24" s="3" t="s">
        <v>51</v>
      </c>
      <c r="E24" s="3"/>
    </row>
    <row r="25" customFormat="false" ht="15" hidden="false" customHeight="false" outlineLevel="0" collapsed="false">
      <c r="A25" s="2" t="n">
        <v>24</v>
      </c>
      <c r="B25" s="3" t="s">
        <v>5</v>
      </c>
      <c r="C25" s="2" t="s">
        <v>52</v>
      </c>
      <c r="D25" s="3" t="s">
        <v>53</v>
      </c>
      <c r="E25" s="3"/>
    </row>
    <row r="26" customFormat="false" ht="15" hidden="false" customHeight="false" outlineLevel="0" collapsed="false">
      <c r="A26" s="2" t="n">
        <v>25</v>
      </c>
      <c r="B26" s="3" t="s">
        <v>5</v>
      </c>
      <c r="C26" s="2" t="s">
        <v>54</v>
      </c>
      <c r="D26" s="3" t="s">
        <v>55</v>
      </c>
      <c r="E26" s="3"/>
    </row>
    <row r="27" customFormat="false" ht="15" hidden="false" customHeight="false" outlineLevel="0" collapsed="false">
      <c r="A27" s="2" t="n">
        <v>26</v>
      </c>
      <c r="B27" s="3" t="s">
        <v>5</v>
      </c>
      <c r="C27" s="2" t="s">
        <v>56</v>
      </c>
      <c r="D27" s="3" t="s">
        <v>57</v>
      </c>
      <c r="E27" s="3"/>
    </row>
    <row r="28" customFormat="false" ht="15" hidden="false" customHeight="false" outlineLevel="0" collapsed="false">
      <c r="A28" s="2" t="n">
        <v>27</v>
      </c>
      <c r="B28" s="3" t="s">
        <v>5</v>
      </c>
      <c r="C28" s="2" t="s">
        <v>58</v>
      </c>
      <c r="D28" s="3" t="s">
        <v>59</v>
      </c>
      <c r="E28" s="3"/>
    </row>
    <row r="29" customFormat="false" ht="15" hidden="false" customHeight="false" outlineLevel="0" collapsed="false">
      <c r="A29" s="2" t="n">
        <v>28</v>
      </c>
      <c r="B29" s="3" t="s">
        <v>5</v>
      </c>
      <c r="C29" s="2" t="s">
        <v>60</v>
      </c>
      <c r="D29" s="3" t="s">
        <v>61</v>
      </c>
      <c r="E29" s="3"/>
    </row>
    <row r="30" customFormat="false" ht="15" hidden="false" customHeight="false" outlineLevel="0" collapsed="false">
      <c r="A30" s="2" t="n">
        <v>29</v>
      </c>
      <c r="B30" s="3" t="s">
        <v>5</v>
      </c>
      <c r="C30" s="2" t="s">
        <v>62</v>
      </c>
      <c r="D30" s="3" t="s">
        <v>63</v>
      </c>
      <c r="E30" s="3"/>
    </row>
    <row r="31" customFormat="false" ht="15" hidden="false" customHeight="false" outlineLevel="0" collapsed="false">
      <c r="A31" s="2" t="n">
        <v>30</v>
      </c>
      <c r="B31" s="3" t="s">
        <v>5</v>
      </c>
      <c r="C31" s="2" t="s">
        <v>64</v>
      </c>
      <c r="D31" s="3" t="s">
        <v>65</v>
      </c>
      <c r="E31" s="3"/>
    </row>
    <row r="32" customFormat="false" ht="15" hidden="false" customHeight="false" outlineLevel="0" collapsed="false">
      <c r="A32" s="4" t="n">
        <v>31</v>
      </c>
      <c r="B32" s="5" t="s">
        <v>66</v>
      </c>
      <c r="C32" s="4" t="s">
        <v>67</v>
      </c>
      <c r="D32" s="5" t="s">
        <v>68</v>
      </c>
      <c r="E32" s="5"/>
    </row>
    <row r="33" customFormat="false" ht="15" hidden="false" customHeight="false" outlineLevel="0" collapsed="false">
      <c r="A33" s="4" t="n">
        <v>32</v>
      </c>
      <c r="B33" s="5" t="s">
        <v>66</v>
      </c>
      <c r="C33" s="4" t="s">
        <v>69</v>
      </c>
      <c r="D33" s="5" t="s">
        <v>70</v>
      </c>
      <c r="E33" s="5"/>
    </row>
    <row r="34" customFormat="false" ht="15" hidden="false" customHeight="false" outlineLevel="0" collapsed="false">
      <c r="A34" s="4" t="n">
        <v>33</v>
      </c>
      <c r="B34" s="5" t="s">
        <v>66</v>
      </c>
      <c r="C34" s="4" t="s">
        <v>71</v>
      </c>
      <c r="D34" s="5" t="s">
        <v>72</v>
      </c>
      <c r="E34" s="5"/>
    </row>
    <row r="35" customFormat="false" ht="15" hidden="false" customHeight="false" outlineLevel="0" collapsed="false">
      <c r="A35" s="4" t="n">
        <v>34</v>
      </c>
      <c r="B35" s="5" t="s">
        <v>66</v>
      </c>
      <c r="C35" s="4" t="s">
        <v>73</v>
      </c>
      <c r="D35" s="5" t="s">
        <v>74</v>
      </c>
      <c r="E35" s="5"/>
    </row>
    <row r="36" customFormat="false" ht="15" hidden="false" customHeight="false" outlineLevel="0" collapsed="false">
      <c r="A36" s="4" t="n">
        <v>35</v>
      </c>
      <c r="B36" s="5" t="s">
        <v>66</v>
      </c>
      <c r="C36" s="4" t="s">
        <v>75</v>
      </c>
      <c r="D36" s="5" t="s">
        <v>76</v>
      </c>
      <c r="E36" s="6" t="s">
        <v>77</v>
      </c>
    </row>
    <row r="37" customFormat="false" ht="15" hidden="false" customHeight="false" outlineLevel="0" collapsed="false">
      <c r="A37" s="4" t="n">
        <v>36</v>
      </c>
      <c r="B37" s="5" t="s">
        <v>66</v>
      </c>
      <c r="C37" s="4" t="s">
        <v>78</v>
      </c>
      <c r="D37" s="5" t="s">
        <v>79</v>
      </c>
      <c r="E37" s="5"/>
    </row>
    <row r="38" customFormat="false" ht="15" hidden="false" customHeight="false" outlineLevel="0" collapsed="false">
      <c r="A38" s="4" t="n">
        <v>37</v>
      </c>
      <c r="B38" s="5" t="s">
        <v>66</v>
      </c>
      <c r="C38" s="4" t="s">
        <v>80</v>
      </c>
      <c r="D38" s="5" t="s">
        <v>81</v>
      </c>
      <c r="E38" s="5"/>
    </row>
    <row r="39" customFormat="false" ht="15" hidden="false" customHeight="false" outlineLevel="0" collapsed="false">
      <c r="A39" s="4" t="n">
        <v>38</v>
      </c>
      <c r="B39" s="5" t="s">
        <v>66</v>
      </c>
      <c r="C39" s="4" t="s">
        <v>82</v>
      </c>
      <c r="D39" s="5" t="s">
        <v>83</v>
      </c>
      <c r="E39" s="5"/>
    </row>
    <row r="40" customFormat="false" ht="15" hidden="false" customHeight="false" outlineLevel="0" collapsed="false">
      <c r="A40" s="4" t="n">
        <v>39</v>
      </c>
      <c r="B40" s="5" t="s">
        <v>66</v>
      </c>
      <c r="C40" s="4" t="s">
        <v>84</v>
      </c>
      <c r="D40" s="5" t="s">
        <v>85</v>
      </c>
      <c r="E40" s="5"/>
    </row>
    <row r="41" customFormat="false" ht="15" hidden="false" customHeight="false" outlineLevel="0" collapsed="false">
      <c r="A41" s="4" t="n">
        <v>40</v>
      </c>
      <c r="B41" s="5" t="s">
        <v>66</v>
      </c>
      <c r="C41" s="4" t="s">
        <v>86</v>
      </c>
      <c r="D41" s="5" t="s">
        <v>87</v>
      </c>
      <c r="E41" s="5"/>
    </row>
    <row r="42" customFormat="false" ht="15" hidden="false" customHeight="false" outlineLevel="0" collapsed="false">
      <c r="A42" s="4" t="n">
        <v>41</v>
      </c>
      <c r="B42" s="5" t="s">
        <v>66</v>
      </c>
      <c r="C42" s="4" t="s">
        <v>88</v>
      </c>
      <c r="D42" s="5" t="s">
        <v>89</v>
      </c>
      <c r="E42" s="5"/>
    </row>
    <row r="43" customFormat="false" ht="15" hidden="false" customHeight="false" outlineLevel="0" collapsed="false">
      <c r="A43" s="4" t="n">
        <v>42</v>
      </c>
      <c r="B43" s="5" t="s">
        <v>66</v>
      </c>
      <c r="C43" s="4" t="s">
        <v>90</v>
      </c>
      <c r="D43" s="5" t="s">
        <v>91</v>
      </c>
      <c r="E43" s="5"/>
    </row>
    <row r="44" customFormat="false" ht="15" hidden="false" customHeight="false" outlineLevel="0" collapsed="false">
      <c r="A44" s="4" t="n">
        <v>43</v>
      </c>
      <c r="B44" s="5" t="s">
        <v>66</v>
      </c>
      <c r="C44" s="4" t="s">
        <v>92</v>
      </c>
      <c r="D44" s="5" t="s">
        <v>93</v>
      </c>
      <c r="E44" s="5"/>
    </row>
    <row r="45" customFormat="false" ht="15" hidden="false" customHeight="false" outlineLevel="0" collapsed="false">
      <c r="A45" s="4" t="n">
        <v>44</v>
      </c>
      <c r="B45" s="5" t="s">
        <v>66</v>
      </c>
      <c r="C45" s="4" t="s">
        <v>94</v>
      </c>
      <c r="D45" s="5" t="s">
        <v>95</v>
      </c>
      <c r="E45" s="5"/>
    </row>
    <row r="46" customFormat="false" ht="15" hidden="false" customHeight="false" outlineLevel="0" collapsed="false">
      <c r="A46" s="4" t="n">
        <v>45</v>
      </c>
      <c r="B46" s="5" t="s">
        <v>66</v>
      </c>
      <c r="C46" s="4" t="s">
        <v>96</v>
      </c>
      <c r="D46" s="5" t="s">
        <v>97</v>
      </c>
      <c r="E46" s="5"/>
    </row>
    <row r="47" customFormat="false" ht="15" hidden="false" customHeight="false" outlineLevel="0" collapsed="false">
      <c r="A47" s="4" t="n">
        <v>46</v>
      </c>
      <c r="B47" s="5" t="s">
        <v>66</v>
      </c>
      <c r="C47" s="4" t="s">
        <v>75</v>
      </c>
      <c r="D47" s="5" t="s">
        <v>98</v>
      </c>
      <c r="E47" s="6" t="s">
        <v>99</v>
      </c>
    </row>
    <row r="48" customFormat="false" ht="15" hidden="false" customHeight="false" outlineLevel="0" collapsed="false">
      <c r="A48" s="4" t="n">
        <v>47</v>
      </c>
      <c r="B48" s="5" t="s">
        <v>66</v>
      </c>
      <c r="C48" s="4" t="s">
        <v>100</v>
      </c>
      <c r="D48" s="5" t="s">
        <v>101</v>
      </c>
      <c r="E48" s="5"/>
    </row>
    <row r="49" customFormat="false" ht="15" hidden="false" customHeight="false" outlineLevel="0" collapsed="false">
      <c r="A49" s="4" t="n">
        <v>48</v>
      </c>
      <c r="B49" s="5" t="s">
        <v>66</v>
      </c>
      <c r="C49" s="4" t="s">
        <v>102</v>
      </c>
      <c r="D49" s="5" t="s">
        <v>101</v>
      </c>
      <c r="E49" s="5"/>
    </row>
    <row r="50" customFormat="false" ht="15" hidden="false" customHeight="false" outlineLevel="0" collapsed="false">
      <c r="A50" s="4" t="n">
        <v>49</v>
      </c>
      <c r="B50" s="5" t="s">
        <v>66</v>
      </c>
      <c r="C50" s="4" t="s">
        <v>103</v>
      </c>
      <c r="D50" s="5" t="s">
        <v>101</v>
      </c>
      <c r="E50" s="5"/>
    </row>
    <row r="51" customFormat="false" ht="15" hidden="false" customHeight="false" outlineLevel="0" collapsed="false">
      <c r="A51" s="4" t="n">
        <v>50</v>
      </c>
      <c r="B51" s="5" t="s">
        <v>66</v>
      </c>
      <c r="C51" s="4" t="s">
        <v>104</v>
      </c>
      <c r="D51" s="5" t="s">
        <v>101</v>
      </c>
      <c r="E51" s="5"/>
    </row>
    <row r="52" customFormat="false" ht="15" hidden="false" customHeight="false" outlineLevel="0" collapsed="false">
      <c r="A52" s="4" t="n">
        <v>51</v>
      </c>
      <c r="B52" s="5" t="s">
        <v>66</v>
      </c>
      <c r="C52" s="4" t="s">
        <v>105</v>
      </c>
      <c r="D52" s="5" t="s">
        <v>101</v>
      </c>
      <c r="E52" s="5"/>
    </row>
    <row r="53" customFormat="false" ht="15" hidden="false" customHeight="false" outlineLevel="0" collapsed="false">
      <c r="A53" s="4" t="n">
        <v>52</v>
      </c>
      <c r="B53" s="5" t="s">
        <v>66</v>
      </c>
      <c r="C53" s="4" t="s">
        <v>106</v>
      </c>
      <c r="D53" s="5" t="s">
        <v>101</v>
      </c>
      <c r="E53" s="5"/>
    </row>
    <row r="54" customFormat="false" ht="15" hidden="false" customHeight="false" outlineLevel="0" collapsed="false">
      <c r="A54" s="4" t="n">
        <v>53</v>
      </c>
      <c r="B54" s="5" t="s">
        <v>66</v>
      </c>
      <c r="C54" s="4" t="s">
        <v>107</v>
      </c>
      <c r="D54" s="5" t="s">
        <v>101</v>
      </c>
      <c r="E54" s="5"/>
    </row>
    <row r="55" customFormat="false" ht="15" hidden="false" customHeight="false" outlineLevel="0" collapsed="false">
      <c r="A55" s="7" t="n">
        <v>54</v>
      </c>
      <c r="B55" s="8" t="s">
        <v>108</v>
      </c>
      <c r="C55" s="7" t="s">
        <v>109</v>
      </c>
      <c r="D55" s="8" t="s">
        <v>110</v>
      </c>
      <c r="E55" s="8"/>
    </row>
    <row r="56" customFormat="false" ht="15" hidden="false" customHeight="false" outlineLevel="0" collapsed="false">
      <c r="A56" s="7" t="n">
        <v>55</v>
      </c>
      <c r="B56" s="8" t="s">
        <v>108</v>
      </c>
      <c r="C56" s="7" t="s">
        <v>111</v>
      </c>
      <c r="D56" s="8" t="s">
        <v>112</v>
      </c>
      <c r="E56" s="8"/>
    </row>
    <row r="57" customFormat="false" ht="15" hidden="false" customHeight="false" outlineLevel="0" collapsed="false">
      <c r="A57" s="7" t="n">
        <v>56</v>
      </c>
      <c r="B57" s="8" t="s">
        <v>108</v>
      </c>
      <c r="C57" s="7" t="s">
        <v>113</v>
      </c>
      <c r="D57" s="8" t="s">
        <v>114</v>
      </c>
      <c r="E57" s="8"/>
    </row>
    <row r="58" customFormat="false" ht="15" hidden="false" customHeight="false" outlineLevel="0" collapsed="false">
      <c r="A58" s="7" t="n">
        <v>57</v>
      </c>
      <c r="B58" s="8" t="s">
        <v>108</v>
      </c>
      <c r="C58" s="7"/>
      <c r="D58" s="8" t="s">
        <v>115</v>
      </c>
      <c r="E58" s="9" t="s">
        <v>116</v>
      </c>
    </row>
    <row r="59" customFormat="false" ht="15" hidden="false" customHeight="false" outlineLevel="0" collapsed="false">
      <c r="A59" s="7" t="n">
        <v>58</v>
      </c>
      <c r="B59" s="8" t="s">
        <v>108</v>
      </c>
      <c r="C59" s="7" t="s">
        <v>117</v>
      </c>
      <c r="D59" s="8" t="s">
        <v>118</v>
      </c>
      <c r="E59" s="8"/>
    </row>
    <row r="60" customFormat="false" ht="15" hidden="false" customHeight="false" outlineLevel="0" collapsed="false">
      <c r="A60" s="7" t="n">
        <v>59</v>
      </c>
      <c r="B60" s="8" t="s">
        <v>108</v>
      </c>
      <c r="C60" s="7" t="s">
        <v>119</v>
      </c>
      <c r="D60" s="8" t="s">
        <v>120</v>
      </c>
      <c r="E60" s="8"/>
    </row>
    <row r="61" customFormat="false" ht="15" hidden="false" customHeight="false" outlineLevel="0" collapsed="false">
      <c r="A61" s="7" t="n">
        <v>60</v>
      </c>
      <c r="B61" s="8" t="s">
        <v>108</v>
      </c>
      <c r="C61" s="7" t="s">
        <v>121</v>
      </c>
      <c r="D61" s="8" t="s">
        <v>122</v>
      </c>
      <c r="E61" s="8"/>
    </row>
    <row r="62" customFormat="false" ht="15" hidden="false" customHeight="false" outlineLevel="0" collapsed="false">
      <c r="A62" s="7" t="n">
        <v>61</v>
      </c>
      <c r="B62" s="8" t="s">
        <v>108</v>
      </c>
      <c r="C62" s="7" t="s">
        <v>123</v>
      </c>
      <c r="D62" s="8" t="s">
        <v>124</v>
      </c>
      <c r="E62" s="8"/>
    </row>
    <row r="63" customFormat="false" ht="15" hidden="false" customHeight="false" outlineLevel="0" collapsed="false">
      <c r="A63" s="7" t="n">
        <v>62</v>
      </c>
      <c r="B63" s="8" t="s">
        <v>108</v>
      </c>
      <c r="C63" s="7" t="s">
        <v>125</v>
      </c>
      <c r="D63" s="8" t="s">
        <v>126</v>
      </c>
      <c r="E63" s="8"/>
    </row>
    <row r="64" customFormat="false" ht="15" hidden="false" customHeight="false" outlineLevel="0" collapsed="false">
      <c r="A64" s="7" t="n">
        <v>63</v>
      </c>
      <c r="B64" s="8" t="s">
        <v>108</v>
      </c>
      <c r="C64" s="7" t="s">
        <v>127</v>
      </c>
      <c r="D64" s="8" t="s">
        <v>128</v>
      </c>
      <c r="E64" s="8"/>
    </row>
    <row r="65" customFormat="false" ht="15" hidden="false" customHeight="false" outlineLevel="0" collapsed="false">
      <c r="A65" s="7" t="n">
        <v>64</v>
      </c>
      <c r="B65" s="8" t="s">
        <v>108</v>
      </c>
      <c r="C65" s="7" t="s">
        <v>129</v>
      </c>
      <c r="D65" s="8" t="s">
        <v>130</v>
      </c>
      <c r="E65" s="8"/>
    </row>
    <row r="66" customFormat="false" ht="15" hidden="false" customHeight="false" outlineLevel="0" collapsed="false">
      <c r="A66" s="7" t="n">
        <v>65</v>
      </c>
      <c r="B66" s="8" t="s">
        <v>108</v>
      </c>
      <c r="C66" s="7" t="s">
        <v>131</v>
      </c>
      <c r="D66" s="8" t="s">
        <v>132</v>
      </c>
      <c r="E66" s="8"/>
    </row>
    <row r="67" customFormat="false" ht="15" hidden="false" customHeight="false" outlineLevel="0" collapsed="false">
      <c r="A67" s="7" t="n">
        <v>66</v>
      </c>
      <c r="B67" s="8" t="s">
        <v>108</v>
      </c>
      <c r="C67" s="7" t="s">
        <v>133</v>
      </c>
      <c r="D67" s="8" t="s">
        <v>134</v>
      </c>
      <c r="E67" s="8"/>
    </row>
    <row r="68" customFormat="false" ht="15" hidden="false" customHeight="false" outlineLevel="0" collapsed="false">
      <c r="A68" s="7" t="n">
        <v>67</v>
      </c>
      <c r="B68" s="8" t="s">
        <v>108</v>
      </c>
      <c r="C68" s="7"/>
      <c r="D68" s="8" t="s">
        <v>135</v>
      </c>
      <c r="E68" s="9" t="s">
        <v>116</v>
      </c>
    </row>
    <row r="69" customFormat="false" ht="15" hidden="false" customHeight="false" outlineLevel="0" collapsed="false">
      <c r="A69" s="7" t="n">
        <v>68</v>
      </c>
      <c r="B69" s="8" t="s">
        <v>108</v>
      </c>
      <c r="C69" s="7"/>
      <c r="D69" s="8" t="s">
        <v>136</v>
      </c>
      <c r="E69" s="9" t="s">
        <v>116</v>
      </c>
    </row>
    <row r="70" customFormat="false" ht="15" hidden="false" customHeight="false" outlineLevel="0" collapsed="false">
      <c r="A70" s="10" t="n">
        <v>69</v>
      </c>
      <c r="B70" s="11" t="s">
        <v>137</v>
      </c>
      <c r="C70" s="10" t="s">
        <v>138</v>
      </c>
      <c r="D70" s="11"/>
      <c r="E70" s="12" t="s">
        <v>139</v>
      </c>
    </row>
    <row r="71" customFormat="false" ht="15" hidden="false" customHeight="false" outlineLevel="0" collapsed="false">
      <c r="A71" s="10" t="n">
        <v>70</v>
      </c>
      <c r="B71" s="11" t="s">
        <v>137</v>
      </c>
      <c r="C71" s="10" t="s">
        <v>75</v>
      </c>
      <c r="D71" s="11" t="s">
        <v>98</v>
      </c>
      <c r="E71" s="12" t="s">
        <v>140</v>
      </c>
    </row>
    <row r="72" customFormat="false" ht="15" hidden="false" customHeight="false" outlineLevel="0" collapsed="false">
      <c r="A72" s="10" t="n">
        <v>71</v>
      </c>
      <c r="B72" s="11" t="s">
        <v>137</v>
      </c>
      <c r="C72" s="10"/>
      <c r="D72" s="11" t="s">
        <v>141</v>
      </c>
      <c r="E72" s="11"/>
    </row>
  </sheetData>
  <autoFilter ref="A1:E7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</cols>
  <sheetData>
    <row r="1" customFormat="false" ht="15" hidden="false" customHeight="false" outlineLevel="0" collapsed="false">
      <c r="A1" s="13" t="s">
        <v>1</v>
      </c>
      <c r="B1" s="13" t="s">
        <v>142</v>
      </c>
    </row>
    <row r="2" customFormat="false" ht="15" hidden="false" customHeight="false" outlineLevel="0" collapsed="false">
      <c r="A2" s="14" t="s">
        <v>5</v>
      </c>
      <c r="B2" s="14" t="n">
        <f aca="false">COUNTIF('Baca Listesi'!B:B,"Fırın Bacaları")</f>
        <v>30</v>
      </c>
    </row>
    <row r="3" customFormat="false" ht="15" hidden="false" customHeight="false" outlineLevel="0" collapsed="false">
      <c r="A3" s="14" t="s">
        <v>66</v>
      </c>
      <c r="B3" s="14" t="n">
        <f aca="false">COUNTIF('Baca Listesi'!B:B,"Booth Bacaları")</f>
        <v>23</v>
      </c>
    </row>
    <row r="4" customFormat="false" ht="15" hidden="false" customHeight="false" outlineLevel="0" collapsed="false">
      <c r="A4" s="14" t="s">
        <v>108</v>
      </c>
      <c r="B4" s="14" t="n">
        <f aca="false">COUNTIF('Baca Listesi'!B:B,"Proses Bacaları")</f>
        <v>15</v>
      </c>
    </row>
    <row r="5" customFormat="false" ht="15" hidden="false" customHeight="false" outlineLevel="0" collapsed="false">
      <c r="A5" s="14" t="s">
        <v>137</v>
      </c>
      <c r="B5" s="14" t="n">
        <f aca="false">COUNTIF('Baca Listesi'!B:B,"Tanımsız / Kontrol Edilecek")</f>
        <v>3</v>
      </c>
    </row>
    <row r="6" customFormat="false" ht="15" hidden="false" customHeight="false" outlineLevel="0" collapsed="false">
      <c r="A6" s="15" t="s">
        <v>143</v>
      </c>
      <c r="B6" s="15" t="n">
        <f aca="false">SUM(B2:B5)</f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2026-10-21T06:16:24Z</dcterms:created>
  <dc:creator>openpyxl</dc:creator>
  <dc:description/>
  <dc:language>en-US</dc:language>
  <cp:lastModifiedBy/>
  <dcterms:modified xsi:type="dcterms:W3CDTF">2026-10-21T06:16:24Z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